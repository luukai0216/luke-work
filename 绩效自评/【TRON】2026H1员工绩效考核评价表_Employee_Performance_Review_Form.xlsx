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hina\Desktop\"/>
    </mc:Choice>
  </mc:AlternateContent>
  <xr:revisionPtr revIDLastSave="0" documentId="13_ncr:1_{F12C516D-58B2-4B16-8FC4-DEB08E1FEFFB}" xr6:coauthVersionLast="47" xr6:coauthVersionMax="47" xr10:uidLastSave="{00000000-0000-0000-0000-000000000000}"/>
  <bookViews>
    <workbookView xWindow="-98" yWindow="-98" windowWidth="21795" windowHeight="12975" tabRatio="500" xr2:uid="{00000000-000D-0000-FFFF-FFFF00000000}"/>
  </bookViews>
  <sheets>
    <sheet name="员工绩效考核评价表" sheetId="1" r:id="rId1"/>
    <sheet name="下拉选项使用" sheetId="2" state="hidden" r:id="rId2"/>
    <sheet name="汇总使用（HR）" sheetId="3" state="hidden" r:id="rId3"/>
  </sheets>
  <definedNames>
    <definedName name="_xlnm.Print_Area" localSheetId="0">员工绩效考核评价表!$A$1:$G$21</definedName>
  </definedNames>
  <calcPr calcId="181029"/>
</workbook>
</file>

<file path=xl/calcChain.xml><?xml version="1.0" encoding="utf-8"?>
<calcChain xmlns="http://schemas.openxmlformats.org/spreadsheetml/2006/main">
  <c r="K2" i="3" l="1"/>
  <c r="N2" i="3"/>
  <c r="M2" i="3"/>
  <c r="I30" i="1"/>
  <c r="H30" i="1"/>
  <c r="E30" i="1"/>
  <c r="L2" i="3" s="1"/>
  <c r="Q2" i="3"/>
  <c r="P2" i="3"/>
  <c r="O2" i="3"/>
  <c r="J2" i="3"/>
  <c r="I2" i="3"/>
  <c r="H2" i="3"/>
  <c r="G2" i="3"/>
  <c r="F2" i="3"/>
  <c r="E2" i="3"/>
  <c r="D2" i="3"/>
  <c r="C2" i="3"/>
  <c r="B2" i="3"/>
  <c r="A2" i="3"/>
</calcChain>
</file>

<file path=xl/sharedStrings.xml><?xml version="1.0" encoding="utf-8"?>
<sst xmlns="http://schemas.openxmlformats.org/spreadsheetml/2006/main" count="95" uniqueCount="95">
  <si>
    <t>填写说明 / Instructions:
① 由员工填写【基础信息】、【价值观红线自查】、【员工自评】含①OKR复盘与核心业务产出（关键产出描述/O权重/对应季度OKR/关键成果证据/自评得分）②复盘与成长③综合自评得分部分，填好后上交至考核人；
Employees complete: [Basic Info], [Values Red Line Self-Check], [Self-Evaluation] including ①OKR Review &amp; Core Outputs (output description/weight/linked OKR/evidence/self-score), ②Reflection &amp; Growth, ③Overall Self-Score. Submit to reviewer upon completion.
② 由考核人填写【红线确认】、【文化贡献加分】、【员工自评】中①OKR复盘与核心业务产出（考核人评分、最终OKR评分）和【考核人评价】部分，完成后交至人力行政部，由人力行政部统一审定绩效正态分布情况并上交CEO审批；
Reviewers complete: [Red Line Confirmation], [Culture Bonus], OKR scores in Self-Evaluation, and [Reviewer Assessment]. Submit to HR Admin for forced-distribution review and CEO approval.
③ 本表为半年度考核（6月/12月）；OKR复盘部分要求员工基于季度OKR提炼3-5项核心业务产出（必填3项，最多5项）；
This is a semi-annual review (June/December). OKR section: summarize 3–5 core outputs based on quarterly OKRs (min 3, max 5).
④ OKR是过程和业务管理工具，绩效考核是结果和人才评估工具，OKR得分作为绩效评分的重要输入与参考，但不直接等同于绩效得分；
OKR = process/management tool. Performance = outcome/talent tool. OKR scores inform but do not directly equal performance ratings.
⑤ 红线行为一经核实将触发"一票否决"。
Red line violations, once confirmed, trigger automatic disqualification.</t>
  </si>
  <si>
    <t>1. 基础信息 / Basic Information</t>
  </si>
  <si>
    <t>所在小组
Team / Sub-Group</t>
  </si>
  <si>
    <t>员工姓名
Employee Name</t>
  </si>
  <si>
    <t>员工职级
Job Level</t>
  </si>
  <si>
    <t>工作邮箱（务必准确填写）
Work Email (must be accurate)</t>
  </si>
  <si>
    <t>汇报对象
Reporting Manager</t>
  </si>
  <si>
    <t>2. 价值观红线自查 / Values Red Line Self-Check</t>
  </si>
  <si>
    <t>文化价值观
Core Values</t>
  </si>
  <si>
    <t>文化价值观标准及描述
Values Standards &amp; Description</t>
  </si>
  <si>
    <t>价值观红线行为确认（一票否决机制）
Values Red Line Confirmation (One-Strike Veto)</t>
  </si>
  <si>
    <t>【廉洁反腐红线】 Anti-Corruption Red Lines
·收受或变相收受现金、回扣等商业贿赂及不正当利益；
 Accepting cash, kickbacks, or any improper commercial benefits.
·利用职务便利或影响力为本人或他人谋取私人利益（含内外勾结、利益输送）；
 Using position or influence for personal gain (incl. collusion and benefit transfer).
·虚假报销、侵占、挪用、私分公司资产；
 False expense claims, embezzlement, misappropriation, or unauthorized distribution of company assets.
·发现违规问题隐瞒不报、包庇纵容、干扰对抗调查。
 Concealing violations, shielding misconduct, or obstructing investigations.</t>
  </si>
  <si>
    <t>【信息与职场合规红线】 Information &amp; Workplace Compliance
·泄露公司机密信息、商业秘密或侵犯知识产权；
 Leaking confidential information, trade secrets, or infringing intellectual property.
·伪造数据、报表、工作记录，或欺骗用户/监管机构；
 Falsifying data, reports, or records; deceiving users or regulators.
·在公开场合发表严重损害公司声誉的言论；
 Making statements in public that seriously damage the company's reputation.
·辱骂、性骚扰或语言/肢体暴力对待同事。
 Verbal abuse, sexual harassment, or physical violence toward colleagues.</t>
  </si>
  <si>
    <t>【团队管理红线】（适用于管理者）
Team Management Red Lines (Managers Only)
·打压不同的专业意见或合理质疑
 Suppressing dissenting professional opinions or legitimate challenges.
·隐瞒、侵占下属功劳
 Concealing or taking credit for subordinates' contributions.
·性别、地域、学历、年龄歧视
 Discrimination based on gender, region, education, or age.
·滥用职权进行不当人事安排
 Abusing authority to make improper personnel arrangements.</t>
  </si>
  <si>
    <t>员工自查（下拉选择）
Employee Self-Check (dropdown)</t>
  </si>
  <si>
    <t>考核人确认（下拉选择）
Reviewer Confirmation (dropdown)</t>
  </si>
  <si>
    <t>文化贡献加分项（正向激励）
Culture Contribution Bonus (Positive Incentive)</t>
  </si>
  <si>
    <t>员工填写 本年度文化建设贡献
Employee: Describe culture-building contributions this year</t>
  </si>
  <si>
    <t>（请描述本年度在文化建设方面的具体贡献，例如：组织或主导内训/读书会/技术分享、担任新人导师、组织跨部门交流活动、撰写公司文化故事或案例、参与文化大使/委员会工作等。请写明活动名称、时间、参与人数或影响范围。如无可填"无"。）
(Describe specific culture contributions this year, e.g., organizing training sessions, book clubs, tech talks, serving as mentor, leading cross-team events, writing culture stories, participating in culture ambassador work. Include activity name, date, # of participants or reach. Write "N/A" if none.)</t>
  </si>
  <si>
    <t>考核人确认加分（下拉选择）
Reviewer-Confirmed Bonus (dropdown)</t>
  </si>
  <si>
    <t>3. 员工自评
3. Employee Self-Evaluation</t>
  </si>
  <si>
    <t>3.1业绩与产出
3.1 Performance &amp; Output</t>
  </si>
  <si>
    <t>OKR复盘与本半年度核心业务产出
OKR Review &amp; Core Outputs This Half-Year</t>
  </si>
  <si>
    <t>编号
No.</t>
  </si>
  <si>
    <t>目标描述 (Objective)
Output Description</t>
  </si>
  <si>
    <t>O权重 (%)
Weight (total=100%)</t>
  </si>
  <si>
    <t>对应季度OKR
Linked Quarterly OKR (Q1/Q2)</t>
  </si>
  <si>
    <t>关键成果与业务价值（员工填写）
Key Results &amp; Business Value (Employee)</t>
  </si>
  <si>
    <t>考核人评分（1-5分）
Reviewer Score (1–5)</t>
  </si>
  <si>
    <t>自评得分 (1-5)
Self-Score (1–5)</t>
  </si>
  <si>
    <t>产出1（必填）
Output 1 (Required)</t>
  </si>
  <si>
    <t>产出2（必填）
Output 2 (Required)</t>
  </si>
  <si>
    <t>产出3（必填）
Output 3 (Required)</t>
  </si>
  <si>
    <t>产出4（选填）
Output 4 (Optional)</t>
  </si>
  <si>
    <t>产出5（选填）
Output 5 (Optional)</t>
  </si>
  <si>
    <t>加权汇总
Weighted Total</t>
  </si>
  <si>
    <t>跨OKR的工作贡献（选填）
Additional Contributions Beyond OKR (Optional)
（OKR未覆盖到的临时项目、团队支持、跨部门协作等，请避免与上方核心产出重复）
(Ad hoc projects, team support, cross-team collaboration not captured in OKRs above. Avoid duplicating outputs listed above.)</t>
  </si>
  <si>
    <t>3.2复盘与成长
3.2 Reflection &amp; Growth</t>
  </si>
  <si>
    <t>工作问题及挑战
Work Challenges &amp; Gaps
（表述本年度工作中存在的主要问题、个人短板、工作挑战以及未完成预期目标的原因）
(Key issues, personal gaps, challenges, and reasons for any unmet targets this period.)</t>
  </si>
  <si>
    <t>个人发展计划
Personal Development Plan
（与上级沟通确认下个阶段重点提升的工作领域）
(Priority growth areas for next period, confirmed with your manager.)</t>
  </si>
  <si>
    <t>3.3综合自评得分
3.3 Overall Self-Rating</t>
  </si>
  <si>
    <t>文化价值观自评得分（下拉选项）
Values Self-Rating (dropdown)</t>
  </si>
  <si>
    <t>绩效自评得分（下拉选项）
Performance Self-Rating (dropdown)</t>
  </si>
  <si>
    <t>4. 考核人评价 / Reviewer Assessment</t>
  </si>
  <si>
    <t>考核人综合评语
Reviewer Overall Comments</t>
  </si>
  <si>
    <t>文化价值观评价得分（下拉选项）
Values Rating (dropdown)</t>
  </si>
  <si>
    <t>绩效考核得分（下拉选项）
Performance Rating (dropdown)</t>
  </si>
  <si>
    <t>附录 / Appendix</t>
  </si>
  <si>
    <t>价值观评价 / Values Rating:
&gt; 典范(A)：充分践行公司的文化价值观，能够为他人树立榜样；
  Exemplary (A): Fully embodies company values; a role model for others.
&gt; 良好(B)：能够践行公司的文化价值观；
  Good (B): Consistently demonstrates company values.
&gt; 待提升(C)：在大部分时候能够践行公司的文化价值观；
  Developing (C): Demonstrates values in most situations.
&gt; 不符合(D)：行事风格不符合公司的文化价值观。
  Non-Compliant (D): Behavior does not align with company values.
注 / Notes: ①价值观评价不做强制分布；No forced distribution for values ratings. ②如价值观评价为"待提升(C)"，员工绩效考核得分不能为"5分"、"4分"；If values = C, performance score cannot be 4 or 5. ③如价值观评价为"不符合(D)"，员工绩效考核只能为"1分"。If values = D, performance score must be 1.</t>
  </si>
  <si>
    <t>文化贡献加分说明 / Culture Contribution Bonus Guide:
&gt; +0.3（杰出贡献）：主导或发起对全公司有显著影响的文化建设项目，如发起跨部门文化倡议、主笔公司核心文化材料、长期担任新人/储备干部导师并培养出多位骨干等。
  +0.3 Outstanding: Led company-wide culture initiatives; authored core culture materials; long-term mentored multiple rising stars.
&gt; +0.2（突出贡献）：在所属部门或专业领域中持续推动文化建设，如年度组织5场以上有质量的内训/分享、担任至少3名新人的指导师、主导部门文化活动等。
  +0.2 Significant: Organized 5+ quality training sessions/shares; mentored 3+ new hires; led dept culture activities.
&gt; +0.1（一般贡献）：在本职工作之外为文化建设付出额外努力，如参与文化大使工作、组织小型分享活动、撰写公司文化故事等。
  +0.1 General: Extra effort beyond role — culture ambassador, small events, culture storytelling.
&gt; +0（无显著贡献）：本年度未在文化建设方面做出本职之外的额外贡献。
  +0 None: No additional culture contributions beyond regular duties.
注 / Notes: ① 加分由考核人提名、HR复核；Bonus nominated by reviewer, verified by HR. ② 加分作为价值观最终评分的加权依据（如自评/他评原本为B级，叠加+0.2加分后可在边界条件下晋升为A级）；Bonus can tip borderline values ratings upward (e.g., B+0.2 may qualify as A). ③ 同等业绩条件下，文化贡献加分高者在晋升、调薪、关键项目分配中优先考虑。When performance is equal, higher culture bonus = priority in promotion, pay adjustment, and key project assignment.</t>
  </si>
  <si>
    <t xml:space="preserve">5-卓越 </t>
  </si>
  <si>
    <t>4-优秀</t>
  </si>
  <si>
    <t>3-良好</t>
  </si>
  <si>
    <t>3--1</t>
  </si>
  <si>
    <t>2-待改进</t>
  </si>
  <si>
    <t>3--2</t>
  </si>
  <si>
    <t xml:space="preserve">1-不合格 </t>
  </si>
  <si>
    <t>4--1</t>
  </si>
  <si>
    <t>4--2</t>
  </si>
  <si>
    <t>5--1</t>
  </si>
  <si>
    <t>5--2</t>
  </si>
  <si>
    <t>序号</t>
  </si>
  <si>
    <t>所属部门（一级部门）</t>
  </si>
  <si>
    <t>所在小组</t>
  </si>
  <si>
    <t>员工姓名</t>
  </si>
  <si>
    <t>员工职级</t>
  </si>
  <si>
    <t>工作邮箱</t>
  </si>
  <si>
    <t>汇报对象</t>
  </si>
  <si>
    <t>文化价值观自评得分</t>
  </si>
  <si>
    <t>文化价值观评价得分</t>
  </si>
  <si>
    <t>绩效自评得分</t>
  </si>
  <si>
    <t>绩效考核得分</t>
  </si>
  <si>
    <t>OKR权重合计(%)</t>
  </si>
  <si>
    <t>OKR加权自评得分</t>
  </si>
  <si>
    <t>OKR考核人最终评分</t>
  </si>
  <si>
    <t>红线-员工自查</t>
  </si>
  <si>
    <t>红线-考核人确认</t>
  </si>
  <si>
    <t>文化贡献加分</t>
  </si>
  <si>
    <t>所属部门（一级部门）
Department (Level 1)</t>
    <phoneticPr fontId="1" type="noConversion"/>
  </si>
  <si>
    <t>组织层面
【“断事”标准：生存之道】
Company-level
[Guiding principles for decision-making: A path to success]</t>
    <phoneticPr fontId="1" type="noConversion"/>
  </si>
  <si>
    <t>成员层面
【“择人”标准：人的管理】
Employee-level
[Guiding principles for choosing talent: Talent Management]</t>
    <phoneticPr fontId="1" type="noConversion"/>
  </si>
  <si>
    <t>“用户第一”是企业的经营之道，是我们最为坚守的工作原则，是我们做业务选择的指导标准。
"Community Obsession" is a fundamental business philosophy that guides every decision we make. It's not just a principle—it's how we create value and measure success.</t>
    <phoneticPr fontId="1" type="noConversion"/>
  </si>
  <si>
    <t>“永争冠军”是企业的核心体质，是我们组织建设的共识原则，是我们团队凝聚的目标和决心。
"Champion's Mindset" is the heartbeat of the enterprise, a shared vision that fuels our resolve and unifies our team in the pursuit of excellence.</t>
    <phoneticPr fontId="1" type="noConversion"/>
  </si>
  <si>
    <t>“拥抱变化”是企业的经营机制，是进行业务设计的基本原则，是我们行业优势地位的保障。
"Embrace Change" is not just an operational mantra but the lifeblood of our strategic planning, ensuring our continued innovation and leadership in the industry.</t>
    <phoneticPr fontId="1" type="noConversion"/>
  </si>
  <si>
    <t>“长期主义”是企业的管理之道，是我们经营管理的指导原则，是我们做思考战略的指导方向。
"Longtermism" shapes our corporate ethos, steering our operational decisions and strategic planning with a commitment to enduring success and sustainable growth.</t>
    <phoneticPr fontId="1" type="noConversion"/>
  </si>
  <si>
    <t>“简单相信奋斗者”是全员的精神信仰，简单直接，确信坚守，共同奋斗，争做成功组织的代言。
"Simplicity Achiever" is the driving force behind our employees' dedication to staying true to simplicity, integrity, teamwork, and ongoing learning, empowering them to embody the values of our successful organization.</t>
    <phoneticPr fontId="1" type="noConversion"/>
  </si>
  <si>
    <t>“正直诚信不作恶”是全员的践行之道，以身作则、实事求是、正面积极，坚持“不作恶”底线。
"Don't Be Evil" is the guiding philosophy for all employees, inspiring them to lead by example, seek truth through facts, stay positive and proactive, and uphold the principle of doing what's right.</t>
    <phoneticPr fontId="1" type="noConversion"/>
  </si>
  <si>
    <t xml:space="preserve">“永远在线专业者”是全员的职业形象，勤奋、专注，友善、守候，树立用户对我们的第一印象。
"7*24 Standby Professional" is the embodiment of our staff, reflecting their diligence, focus, friendliness, attentiveness, and ability to impress users. </t>
    <phoneticPr fontId="1" type="noConversion"/>
  </si>
  <si>
    <t xml:space="preserve">“平凡人做非凡事”是全员的工作定位，不断提高全体员工的整体素质，不断提升国际化程度。
"Ordinary People Doing Extraordinary Job" is the guiding principle aimed at enhancing the team's overall competence and global perspective. </t>
    <phoneticPr fontId="1" type="noConversion"/>
  </si>
  <si>
    <t>请基于季度的OKR复盘，提炼本半年度3-5项最核心的关键业务产出（必填3项，最多5项），每项需关联季度的OKR目标，重点描述"做了什么"以及"带来了什么业务价值"。
Based on your quarterly OKR reviews, summarize 3–5 core business outputs for this half-year (minimum 3 required, maximum 5). Each output must link to a quarterly OKR objective, focusing on "what was done" and "what business value was created."
OKR鼓励挑战性目标，完成度70%-85%为健康区间，完成度本身不作为绩效扣分依据；评分综合考虑产出的【难度 × 质量 × 业务影响】
OKRs encourage stretch goals. A 70%–85% completion rate is the healthy range and is not used as a basis for deducting scores. Ratings are based on a holistic assessment of [Difficulty × Quality × Business Impact].
考虑到OKR是过程和业务管理工具，绩效考核是结果和人才评估工具，OKR得分作为绩效评分的重要输入和参考，但不直接等同于绩效得分。
Note: OKR is a process and business management tool; performance review is an outcome and talent assessment tool. OKR scores serve as an important input and reference for performance ratings, but do not directly equal performance scores.</t>
    <phoneticPr fontId="1" type="noConversion"/>
  </si>
  <si>
    <t>绩效考核 / Performance Rating:
&gt; 5分-精英：超预期完成工作，工作投入度高，总能给人惊喜；5 – Elite: Exceeds expectations consistently; highly engaged; always delivers pleasant surprises.
&gt; 4分-优秀：超额完成工作，工作成果一贯高质量；4 – Excellent: Over-delivers; work results are consistently high quality.
&gt; 3分-符合：达成工作要求，部分工作高质量；3 – Meets Expectations: Fulfills job requirements; some work of high quality.
&gt; 2分-待提升：基本达成工作要求；2 – Developing: Mostly meets requirements; improvement needed.
&gt; 1分-不符合：未达成工作要求；1 – Below Expectations: Does not meet job requirements.
注/ Notes：各部门整体评价结果按照“271”的比例进行强制分布，分布比例："5分"+"4分"≦20%、"3分"≦70%、"2分"+"1分"≧10%. A forced distribution applies at the department level: scores of 5+4 ≤ 20%, score of 3 ≤ 70%, scores of 2+1 ≥ 10%.</t>
    <phoneticPr fontId="1" type="noConversion"/>
  </si>
  <si>
    <t>本半年度核心业务产出评分标准（综合：目标挑战度 × 产出质量 × 业务影响）Output Scoring Criteria for This Half-Year (Difficulty × Quality × Business Impact):
&gt; 5分：目标极具挑战性，产出质量卓越，对部门/公司业务有显著推动作用；5-Highly challenging goals; outstanding output quality; significant impact on department/company business.
&gt; 4分：目标具有挑战性，产出质量高，对业务有明显推动作用；4-Challenging goals; high output quality; clearly advances the business.
&gt; 3分：目标合理，产出按预期完成且质量达标，对业务有正向贡献；3-Reasonable goals; delivered as expected with adequate quality; positive contribution to the business.
&gt; 2分：目标偏保守或产出质量一般，对业务推动有限；2- Conservative goals or average output quality; limited business impact.
&gt; 1分：目标设定缺乏挑战，或产出未达成预期，对业务无明显贡献。1-Unchallenging goals or failed delivery; negligible business contribution.
注/ Notes：① 完成度70%-85%为挑战性OKR的健康区间，完成度本身不作为评分主要依据；A 70%–85% completion rate is the healthy range for stretch OKRs. Completion rate alone is not the primary scoring basis.
    ② 设定极具挑战的目标即使完成60%，其评级也可能高于设定平庸目标且完成100%的人；A stretch goal completed at 60% may score higher than a mediocre goal completed at 100%.
    ③ OKR得分是绩效考核的重要输入与参考，但不直接等同于绩效得分。OKR scores are a key input and reference for performance ratings, but do not directly equal performance scores.</t>
    <phoneticPr fontId="1" type="noConversion"/>
  </si>
  <si>
    <t>提示 / Notes: ① 红线确认中如出现"确认存在"，价值观评分直接评D，绩效评分直接评1分，不论业绩表现，由HR上报CEO终审；If "Confirmed" red line: values = D, performance = 1, regardless of results. HR reports to CEO. ② 红线确认中如出现"疑似存在"，需HR介入调查后由考核委员会决议，疑似存在≠认罪，HR会约谈了解情况；If "Suspected": HR investigates, review committee decides，Suspicion ≠ Admission of guilt. HR will reach out to gather the facts；③ 文化贡献加分用于在最终价值观评分上给予加权倾斜，作为同等业绩下晋升、调薪的重要参考。Culture bonus: weighted toward final values rating; priority for promotion/pay adjustment when performance is equal.</t>
    <phoneticPr fontId="1" type="noConversion"/>
  </si>
  <si>
    <t>价值观红线行为说明 / Red Line Behavior Definitions:
&gt; 红线行为是公司不可触碰的底线，无论业绩表现如何，一经核实将触发"一票否决"机制。
  Red line behaviors are absolute limits. Once confirmed, one-strike veto applies regardless of performance.
&gt; "无红线行为"：本年度未发生任何红线清单中的行为。
  "No red line behaviors" — None of the listed behaviors occurred this period.
&gt; "疑似存在"：员工自查或他人反馈中存在疑似红线行为，需HR介入调查核实。疑似存在≠认罪，HR会约谈了解情况
  "Suspected" — Possible red line behavior flagged; HR investigates. Suspicion ≠ Admission of guilt. HR will reach out to gather the facts.
&gt; "确认存在"：经调查核实确认存在红线行为，价值观评分直接评D，绩效评分直接评1分。
  "Confirmed" — Verified red line behavior; values = D, performance = 1 automatically.
注 / Notes: ① 价值观红线确认结果由考核人和HR共同核实，员工有申诉权利；Confirmed by reviewer + HR jointly; employee has right to appeal. ② 一票否决机制不影响后续法律程序（如涉及违法犯罪行为另行处理）；Veto does not preclude legal proceedings for criminal conduct. ③ 对决策提出专业反对意见、坚持专业判断、举报违规行为不属于红线行为，反而是"正直诚信不作恶"的具体体现，受公司保护和鼓励。Raising professional objections, standing by one's judgment, or reporting violations is NOT a red line — it is protected and encouraged.</t>
    <phoneticPr fontId="1" type="noConversion"/>
  </si>
  <si>
    <t>波场员工绩效考核评价表
TRON Employee Performance Review Form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</si>
</sst>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F800]dddd&quot;, &quot;mmmm\ dd&quot;, &quot;yyyy"/>
    <numFmt numFmtId="177" formatCode="0\%"/>
    <numFmt numFmtId="178" formatCode="0_);[Red]\(0\)"/>
  </numFmts>
  <fonts count="31">
    <font>
      <sz val="12"/>
      <name val="宋体"/>
      <charset val="134"/>
    </font>
    <font>
      <sz val="9"/>
      <name val="宋体"/>
      <family val="3"/>
      <charset val="134"/>
    </font>
    <font>
      <sz val="10"/>
      <name val="DejaVu Sans"/>
      <family val="1"/>
    </font>
    <font>
      <sz val="10"/>
      <color theme="1"/>
      <name val="DejaVu Sans"/>
      <family val="1"/>
    </font>
    <font>
      <b/>
      <sz val="11"/>
      <name val="微软雅黑"/>
      <family val="2"/>
      <charset val="134"/>
    </font>
    <font>
      <sz val="10"/>
      <name val="微软雅黑"/>
      <family val="2"/>
      <charset val="134"/>
    </font>
    <font>
      <sz val="12"/>
      <name val="微软雅黑"/>
      <family val="2"/>
      <charset val="134"/>
    </font>
    <font>
      <sz val="9"/>
      <name val="微软雅黑"/>
      <family val="2"/>
      <charset val="134"/>
    </font>
    <font>
      <b/>
      <sz val="16"/>
      <name val="微软雅黑"/>
      <family val="2"/>
      <charset val="134"/>
    </font>
    <font>
      <sz val="11"/>
      <name val="微软雅黑"/>
      <family val="2"/>
      <charset val="134"/>
    </font>
    <font>
      <sz val="11"/>
      <color rgb="FF0000FF"/>
      <name val="微软雅黑"/>
      <family val="2"/>
      <charset val="134"/>
    </font>
    <font>
      <b/>
      <sz val="11"/>
      <color rgb="FF548235"/>
      <name val="微软雅黑"/>
      <family val="2"/>
      <charset val="134"/>
    </font>
    <font>
      <b/>
      <sz val="12"/>
      <color theme="0"/>
      <name val="微软雅黑"/>
      <family val="2"/>
      <charset val="134"/>
    </font>
    <font>
      <b/>
      <sz val="10"/>
      <color rgb="FF242729"/>
      <name val="微软雅黑"/>
      <family val="2"/>
      <charset val="134"/>
    </font>
    <font>
      <b/>
      <sz val="11"/>
      <color rgb="FFC00000"/>
      <name val="微软雅黑"/>
      <family val="2"/>
      <charset val="134"/>
    </font>
    <font>
      <b/>
      <sz val="9"/>
      <name val="微软雅黑"/>
      <family val="2"/>
      <charset val="134"/>
    </font>
    <font>
      <u/>
      <sz val="11"/>
      <color rgb="FF0000FF"/>
      <name val="宋体"/>
      <family val="3"/>
      <charset val="134"/>
    </font>
    <font>
      <sz val="11"/>
      <color theme="1"/>
      <name val="宋体"/>
      <family val="3"/>
      <charset val="134"/>
    </font>
    <font>
      <sz val="11"/>
      <color rgb="FF000000"/>
      <name val="宋体"/>
      <family val="3"/>
      <charset val="134"/>
    </font>
    <font>
      <sz val="12"/>
      <name val="宋体"/>
      <family val="3"/>
      <charset val="134"/>
    </font>
    <font>
      <b/>
      <sz val="12"/>
      <name val="微软雅黑"/>
      <family val="2"/>
      <charset val="134"/>
    </font>
    <font>
      <b/>
      <sz val="10"/>
      <name val="微软雅黑"/>
      <family val="2"/>
      <charset val="134"/>
    </font>
    <font>
      <b/>
      <sz val="11"/>
      <color theme="1"/>
      <name val="微软雅黑"/>
      <family val="2"/>
      <charset val="134"/>
    </font>
    <font>
      <b/>
      <sz val="11"/>
      <color rgb="FF242729"/>
      <name val="微软雅黑"/>
      <family val="2"/>
      <charset val="134"/>
    </font>
    <font>
      <b/>
      <sz val="12"/>
      <color rgb="FFFFFFFF"/>
      <name val="微软雅黑"/>
      <family val="2"/>
      <charset val="134"/>
    </font>
    <font>
      <i/>
      <sz val="10"/>
      <color rgb="FF7F7F7F"/>
      <name val="微软雅黑"/>
      <family val="2"/>
      <charset val="134"/>
    </font>
    <font>
      <i/>
      <sz val="9"/>
      <color rgb="FFC00000"/>
      <name val="微软雅黑"/>
      <family val="2"/>
      <charset val="134"/>
    </font>
    <font>
      <sz val="11"/>
      <color rgb="FF333333"/>
      <name val="微软雅黑"/>
      <family val="2"/>
      <charset val="134"/>
    </font>
    <font>
      <b/>
      <sz val="11"/>
      <color theme="0"/>
      <name val="微软雅黑"/>
      <family val="2"/>
      <charset val="134"/>
    </font>
    <font>
      <b/>
      <sz val="10"/>
      <color theme="0"/>
      <name val="微软雅黑"/>
      <family val="2"/>
      <charset val="134"/>
    </font>
    <font>
      <sz val="12"/>
      <name val="宋体"/>
      <family val="3"/>
      <charset val="134"/>
    </font>
  </fonts>
  <fills count="20">
    <fill>
      <patternFill patternType="none"/>
    </fill>
    <fill>
      <patternFill patternType="gray125"/>
    </fill>
    <fill>
      <patternFill patternType="solid">
        <fgColor theme="0" tint="-4.9989318521683403E-2"/>
        <bgColor rgb="FFFFF8E7"/>
      </patternFill>
    </fill>
    <fill>
      <patternFill patternType="solid">
        <fgColor rgb="FFD9E1F2"/>
        <bgColor rgb="FFDCE6F2"/>
      </patternFill>
    </fill>
    <fill>
      <patternFill patternType="solid">
        <fgColor theme="0"/>
        <bgColor rgb="FFFFF8E7"/>
      </patternFill>
    </fill>
    <fill>
      <patternFill patternType="solid">
        <fgColor rgb="FFC00000"/>
        <bgColor rgb="FF800000"/>
      </patternFill>
    </fill>
    <fill>
      <patternFill patternType="solid">
        <fgColor rgb="FFFCE4E4"/>
        <bgColor rgb="FFF2F2F2"/>
      </patternFill>
    </fill>
    <fill>
      <patternFill patternType="solid">
        <fgColor rgb="FF548235"/>
        <bgColor rgb="FF339966"/>
      </patternFill>
    </fill>
    <fill>
      <patternFill patternType="solid">
        <fgColor rgb="FFFFE699"/>
        <bgColor rgb="FFFCE4E4"/>
      </patternFill>
    </fill>
    <fill>
      <patternFill patternType="solid">
        <fgColor theme="4" tint="0.79989013336588644"/>
        <bgColor rgb="FFD9E1F2"/>
      </patternFill>
    </fill>
    <fill>
      <patternFill patternType="solid">
        <fgColor theme="4"/>
        <bgColor indexed="64"/>
      </patternFill>
    </fill>
    <fill>
      <patternFill patternType="solid">
        <fgColor theme="6" tint="0.79998168889431442"/>
        <bgColor rgb="FFDCE6F2"/>
      </patternFill>
    </fill>
    <fill>
      <patternFill patternType="solid">
        <fgColor theme="4"/>
        <bgColor rgb="FF000080"/>
      </patternFill>
    </fill>
    <fill>
      <patternFill patternType="solid">
        <fgColor theme="4" tint="0.79998168889431442"/>
        <bgColor rgb="FFF2F2F2"/>
      </patternFill>
    </fill>
    <fill>
      <patternFill patternType="solid">
        <fgColor theme="3" tint="0.79998168889431442"/>
        <bgColor rgb="FFFFF8E7"/>
      </patternFill>
    </fill>
    <fill>
      <patternFill patternType="solid">
        <fgColor theme="4"/>
        <bgColor rgb="FFDCE6F2"/>
      </patternFill>
    </fill>
    <fill>
      <patternFill patternType="solid">
        <fgColor theme="4"/>
        <bgColor rgb="FFFFF8E7"/>
      </patternFill>
    </fill>
    <fill>
      <patternFill patternType="solid">
        <fgColor rgb="FFFCE4E4"/>
        <bgColor indexed="64"/>
      </patternFill>
    </fill>
    <fill>
      <patternFill patternType="solid">
        <fgColor theme="3"/>
        <bgColor rgb="FFDCE6F2"/>
      </patternFill>
    </fill>
    <fill>
      <patternFill patternType="solid">
        <fgColor theme="3"/>
        <bgColor rgb="FFFFF8E7"/>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rgb="FF7F7F7F"/>
      </right>
      <top style="thin">
        <color rgb="FF7F7F7F"/>
      </top>
      <bottom style="thin">
        <color rgb="FF7F7F7F"/>
      </bottom>
      <diagonal/>
    </border>
    <border>
      <left/>
      <right style="thin">
        <color auto="1"/>
      </right>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7">
    <xf numFmtId="0" fontId="0" fillId="0" borderId="0">
      <alignment vertical="center"/>
    </xf>
    <xf numFmtId="0" fontId="16" fillId="0" borderId="0">
      <alignment vertical="center"/>
    </xf>
    <xf numFmtId="0" fontId="19" fillId="0" borderId="0">
      <alignment horizontal="justify" wrapText="1"/>
      <protection hidden="1"/>
    </xf>
    <xf numFmtId="0" fontId="17" fillId="0" borderId="0">
      <alignment vertical="center"/>
    </xf>
    <xf numFmtId="0" fontId="17" fillId="0" borderId="0">
      <alignment vertical="center"/>
    </xf>
    <xf numFmtId="0" fontId="18" fillId="0" borderId="0">
      <alignment vertical="center"/>
    </xf>
    <xf numFmtId="9" fontId="30" fillId="0" borderId="0" applyFont="0" applyFill="0" applyBorder="0" applyAlignment="0" applyProtection="0">
      <alignment vertical="center"/>
    </xf>
  </cellStyleXfs>
  <cellXfs count="109">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5" fillId="0" borderId="1" xfId="0" applyFont="1" applyBorder="1" applyAlignment="1">
      <alignment horizontal="center" vertical="center"/>
    </xf>
    <xf numFmtId="177" fontId="0" fillId="0" borderId="0" xfId="0" applyNumberFormat="1">
      <alignment vertical="center"/>
    </xf>
    <xf numFmtId="0" fontId="5" fillId="0" borderId="0" xfId="0" applyFont="1">
      <alignment vertical="center"/>
    </xf>
    <xf numFmtId="0" fontId="5" fillId="0" borderId="1" xfId="0" applyFont="1" applyBorder="1" applyAlignment="1">
      <alignment horizontal="center" vertical="center" wrapText="1"/>
    </xf>
    <xf numFmtId="0" fontId="6" fillId="0" borderId="0" xfId="0" applyFont="1">
      <alignment vertical="center"/>
    </xf>
    <xf numFmtId="0" fontId="6" fillId="4" borderId="0" xfId="0" applyFont="1" applyFill="1">
      <alignment vertical="center"/>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lignment vertical="center"/>
    </xf>
    <xf numFmtId="0" fontId="7" fillId="0" borderId="0" xfId="0" applyFont="1" applyAlignment="1">
      <alignment horizontal="center" vertical="center"/>
    </xf>
    <xf numFmtId="49" fontId="7" fillId="0" borderId="0" xfId="0" applyNumberFormat="1" applyFont="1" applyAlignment="1">
      <alignment horizontal="center" vertical="center"/>
    </xf>
    <xf numFmtId="178" fontId="7" fillId="0" borderId="0" xfId="0" applyNumberFormat="1" applyFont="1" applyAlignment="1">
      <alignment horizontal="center" vertical="center" wrapText="1"/>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10" fillId="4" borderId="1" xfId="1" applyFont="1" applyFill="1" applyBorder="1" applyAlignment="1">
      <alignment horizontal="center" vertical="center" shrinkToFit="1"/>
    </xf>
    <xf numFmtId="0" fontId="15" fillId="0" borderId="0" xfId="0" applyFont="1">
      <alignment vertical="center"/>
    </xf>
    <xf numFmtId="49" fontId="9"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0" borderId="1" xfId="0" applyFont="1" applyBorder="1" applyAlignment="1">
      <alignment horizontal="left" vertical="center" wrapText="1" indent="1"/>
    </xf>
    <xf numFmtId="0" fontId="4"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0" fillId="0" borderId="0" xfId="0" applyFont="1">
      <alignment vertical="center"/>
    </xf>
    <xf numFmtId="0" fontId="13" fillId="11" borderId="1"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22" fillId="2" borderId="13" xfId="0" applyFont="1" applyFill="1" applyBorder="1" applyAlignment="1">
      <alignment horizontal="center" vertical="center" wrapText="1"/>
    </xf>
    <xf numFmtId="0" fontId="28" fillId="15" borderId="13" xfId="0" applyFont="1" applyFill="1" applyBorder="1" applyAlignment="1">
      <alignment horizontal="center" vertical="center" wrapText="1"/>
    </xf>
    <xf numFmtId="0" fontId="28" fillId="15" borderId="1" xfId="0" applyFont="1" applyFill="1" applyBorder="1" applyAlignment="1">
      <alignment horizontal="center" vertical="center" wrapText="1"/>
    </xf>
    <xf numFmtId="0" fontId="29" fillId="16" borderId="13" xfId="0" applyFont="1" applyFill="1" applyBorder="1" applyAlignment="1">
      <alignment horizontal="center" vertical="center" wrapText="1"/>
    </xf>
    <xf numFmtId="0" fontId="13" fillId="8" borderId="14" xfId="0" applyFont="1" applyFill="1" applyBorder="1" applyAlignment="1">
      <alignment horizontal="center" vertical="center" wrapText="1"/>
    </xf>
    <xf numFmtId="177" fontId="5" fillId="8" borderId="14" xfId="0" applyNumberFormat="1" applyFont="1" applyFill="1" applyBorder="1" applyAlignment="1">
      <alignment horizontal="center" vertical="center" wrapText="1"/>
    </xf>
    <xf numFmtId="2" fontId="14" fillId="8" borderId="14" xfId="0" applyNumberFormat="1" applyFont="1" applyFill="1" applyBorder="1" applyAlignment="1">
      <alignment horizontal="center" vertical="center" wrapText="1"/>
    </xf>
    <xf numFmtId="0" fontId="22" fillId="2" borderId="4" xfId="0" applyFont="1" applyFill="1" applyBorder="1" applyAlignment="1">
      <alignment horizontal="center" vertical="center" wrapText="1"/>
    </xf>
    <xf numFmtId="0" fontId="29" fillId="16" borderId="15" xfId="0" applyFont="1" applyFill="1" applyBorder="1" applyAlignment="1">
      <alignment horizontal="right" vertical="center" wrapText="1"/>
    </xf>
    <xf numFmtId="0" fontId="29" fillId="16" borderId="13" xfId="0" applyFont="1" applyFill="1" applyBorder="1" applyAlignment="1">
      <alignment horizontal="left" vertical="center" wrapText="1"/>
    </xf>
    <xf numFmtId="0" fontId="7" fillId="10" borderId="0" xfId="0" applyFont="1" applyFill="1">
      <alignment vertical="center"/>
    </xf>
    <xf numFmtId="0" fontId="22" fillId="9" borderId="4" xfId="0" applyFont="1" applyFill="1" applyBorder="1" applyAlignment="1">
      <alignment horizontal="center" vertical="center" wrapText="1"/>
    </xf>
    <xf numFmtId="0" fontId="13"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28" fillId="18" borderId="1" xfId="0" applyFont="1" applyFill="1" applyBorder="1" applyAlignment="1">
      <alignment horizontal="center" vertical="center" wrapText="1"/>
    </xf>
    <xf numFmtId="0" fontId="29" fillId="19" borderId="1" xfId="0" applyFont="1" applyFill="1" applyBorder="1" applyAlignment="1">
      <alignment horizontal="left" vertical="center" wrapText="1"/>
    </xf>
    <xf numFmtId="0" fontId="9" fillId="14" borderId="13" xfId="0" applyFont="1" applyFill="1" applyBorder="1" applyAlignment="1">
      <alignment horizontal="center" vertical="center" wrapText="1"/>
    </xf>
    <xf numFmtId="0" fontId="9" fillId="2" borderId="13" xfId="0" applyFont="1" applyFill="1" applyBorder="1" applyAlignment="1">
      <alignment horizontal="center" vertical="center" wrapText="1"/>
    </xf>
    <xf numFmtId="9" fontId="5" fillId="0" borderId="1" xfId="6" applyFont="1" applyBorder="1" applyAlignment="1">
      <alignment horizontal="center" vertical="center" wrapText="1"/>
    </xf>
    <xf numFmtId="9" fontId="29" fillId="16" borderId="1" xfId="6" applyFont="1" applyFill="1" applyBorder="1" applyAlignment="1">
      <alignment horizontal="center" vertical="center" wrapText="1"/>
    </xf>
    <xf numFmtId="0" fontId="8" fillId="0" borderId="0" xfId="0" applyFont="1" applyAlignment="1">
      <alignment horizontal="center" vertical="center" wrapText="1"/>
    </xf>
    <xf numFmtId="0" fontId="6" fillId="0" borderId="0" xfId="0" applyFont="1">
      <alignment vertical="center"/>
    </xf>
    <xf numFmtId="0" fontId="5" fillId="4" borderId="4" xfId="0" applyFont="1" applyFill="1" applyBorder="1" applyAlignment="1">
      <alignment horizontal="center" vertical="center" wrapText="1"/>
    </xf>
    <xf numFmtId="0" fontId="0" fillId="0" borderId="2" xfId="0" applyBorder="1" applyAlignment="1"/>
    <xf numFmtId="0" fontId="0" fillId="0" borderId="9" xfId="0" applyBorder="1" applyAlignment="1"/>
    <xf numFmtId="0" fontId="21" fillId="0" borderId="1" xfId="0" applyFont="1" applyBorder="1" applyAlignment="1">
      <alignment horizontal="center" vertical="center" wrapText="1"/>
    </xf>
    <xf numFmtId="0" fontId="0" fillId="0" borderId="17" xfId="0" applyBorder="1" applyAlignment="1"/>
    <xf numFmtId="0" fontId="0" fillId="0" borderId="4" xfId="0" applyBorder="1" applyAlignment="1"/>
    <xf numFmtId="0" fontId="20" fillId="4" borderId="1" xfId="0" applyFont="1" applyFill="1" applyBorder="1" applyAlignment="1">
      <alignment horizontal="center" vertical="center" wrapText="1"/>
    </xf>
    <xf numFmtId="0" fontId="0" fillId="0" borderId="8" xfId="0" applyBorder="1" applyAlignment="1"/>
    <xf numFmtId="0" fontId="0" fillId="0" borderId="7" xfId="0" applyBorder="1" applyAlignment="1"/>
    <xf numFmtId="0" fontId="9" fillId="4" borderId="1" xfId="0" applyFont="1" applyFill="1" applyBorder="1" applyAlignment="1">
      <alignment horizontal="center" vertical="center" wrapText="1"/>
    </xf>
    <xf numFmtId="0" fontId="0" fillId="0" borderId="13" xfId="0" applyBorder="1" applyAlignment="1"/>
    <xf numFmtId="0" fontId="25" fillId="11" borderId="1" xfId="0" applyFont="1" applyFill="1" applyBorder="1" applyAlignment="1">
      <alignment horizontal="left" vertical="center" wrapText="1"/>
    </xf>
    <xf numFmtId="0" fontId="0" fillId="0" borderId="16" xfId="0" applyBorder="1" applyAlignment="1"/>
    <xf numFmtId="0" fontId="5" fillId="4" borderId="1"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12" fillId="12" borderId="0" xfId="0" applyFont="1" applyFill="1" applyAlignment="1">
      <alignment horizontal="center" vertical="center" wrapText="1"/>
    </xf>
    <xf numFmtId="0" fontId="5" fillId="0" borderId="0" xfId="0" applyFont="1" applyAlignment="1">
      <alignment vertical="center" wrapText="1"/>
    </xf>
    <xf numFmtId="0" fontId="23" fillId="4" borderId="17" xfId="0" applyFont="1" applyFill="1" applyBorder="1" applyAlignment="1">
      <alignment horizontal="center" vertical="center" wrapText="1" readingOrder="1"/>
    </xf>
    <xf numFmtId="0" fontId="5" fillId="0" borderId="0" xfId="0" applyFont="1">
      <alignment vertical="center"/>
    </xf>
    <xf numFmtId="0" fontId="0" fillId="0" borderId="11" xfId="0" applyBorder="1" applyAlignment="1"/>
    <xf numFmtId="0" fontId="5" fillId="17" borderId="1" xfId="0" applyFont="1" applyFill="1" applyBorder="1" applyAlignment="1">
      <alignment horizontal="center" vertical="center" wrapText="1"/>
    </xf>
    <xf numFmtId="0" fontId="26" fillId="0" borderId="1" xfId="0" applyFont="1" applyBorder="1" applyAlignment="1">
      <alignment horizontal="left" vertical="center" wrapText="1"/>
    </xf>
    <xf numFmtId="0" fontId="21" fillId="0" borderId="4" xfId="0" applyFont="1" applyBorder="1" applyAlignment="1">
      <alignment horizontal="center" vertical="center" wrapText="1"/>
    </xf>
    <xf numFmtId="0" fontId="9" fillId="4"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6" borderId="3" xfId="0" applyFont="1" applyFill="1" applyBorder="1" applyAlignment="1">
      <alignment horizontal="left" vertical="center" wrapText="1"/>
    </xf>
    <xf numFmtId="0" fontId="21" fillId="0" borderId="0" xfId="0" applyFont="1" applyAlignment="1">
      <alignment horizontal="left" vertical="center" wrapText="1"/>
    </xf>
    <xf numFmtId="0" fontId="7" fillId="0" borderId="0" xfId="0" applyFont="1">
      <alignment vertical="center"/>
    </xf>
    <xf numFmtId="0" fontId="7" fillId="0" borderId="0" xfId="0" applyFont="1" applyAlignment="1">
      <alignment horizontal="center" vertical="center"/>
    </xf>
    <xf numFmtId="49" fontId="7" fillId="0" borderId="0" xfId="0" applyNumberFormat="1" applyFont="1" applyAlignment="1">
      <alignment horizontal="center" vertical="center"/>
    </xf>
    <xf numFmtId="178" fontId="7" fillId="0" borderId="0" xfId="0" applyNumberFormat="1" applyFont="1" applyAlignment="1">
      <alignment horizontal="center" vertical="center" wrapText="1"/>
    </xf>
    <xf numFmtId="0" fontId="21" fillId="0" borderId="3" xfId="0" applyFont="1" applyBorder="1" applyAlignment="1">
      <alignment horizontal="left" vertical="center" wrapText="1"/>
    </xf>
    <xf numFmtId="0" fontId="0" fillId="0" borderId="6" xfId="0" applyBorder="1" applyAlignment="1"/>
    <xf numFmtId="0" fontId="24" fillId="7" borderId="12"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13" fillId="4" borderId="4" xfId="0" applyFont="1" applyFill="1" applyBorder="1" applyAlignment="1">
      <alignment horizontal="center" vertical="center" wrapText="1" readingOrder="1"/>
    </xf>
    <xf numFmtId="0" fontId="23" fillId="4" borderId="3" xfId="0" applyFont="1" applyFill="1" applyBorder="1" applyAlignment="1">
      <alignment horizontal="center" vertical="center" wrapText="1" readingOrder="1"/>
    </xf>
    <xf numFmtId="0" fontId="20" fillId="0" borderId="4" xfId="0" applyFont="1" applyBorder="1" applyAlignment="1">
      <alignment horizontal="center" vertical="center" wrapText="1"/>
    </xf>
    <xf numFmtId="0" fontId="0" fillId="0" borderId="5" xfId="0" applyBorder="1" applyAlignment="1"/>
    <xf numFmtId="0" fontId="23" fillId="4" borderId="4" xfId="0" applyFont="1" applyFill="1" applyBorder="1" applyAlignment="1">
      <alignment horizontal="center" vertical="center" wrapText="1" readingOrder="1"/>
    </xf>
    <xf numFmtId="0" fontId="13" fillId="4" borderId="1" xfId="0" applyFont="1" applyFill="1" applyBorder="1" applyAlignment="1">
      <alignment horizontal="center" vertical="center" wrapText="1" readingOrder="1"/>
    </xf>
    <xf numFmtId="0" fontId="24" fillId="5" borderId="5" xfId="0" applyFont="1" applyFill="1" applyBorder="1" applyAlignment="1">
      <alignment horizontal="center" vertical="center" wrapText="1"/>
    </xf>
    <xf numFmtId="0" fontId="5" fillId="17" borderId="4"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5" fillId="0" borderId="0" xfId="0" applyFont="1" applyAlignment="1">
      <alignment horizontal="left" vertical="center" wrapText="1"/>
    </xf>
    <xf numFmtId="0" fontId="20" fillId="0" borderId="1" xfId="0" applyFont="1" applyBorder="1" applyAlignment="1">
      <alignment horizontal="center" vertical="center" wrapText="1"/>
    </xf>
    <xf numFmtId="0" fontId="0" fillId="0" borderId="8" xfId="0" applyBorder="1" applyAlignment="1">
      <alignment wrapText="1"/>
    </xf>
    <xf numFmtId="0" fontId="0" fillId="0" borderId="7" xfId="0" applyBorder="1" applyAlignment="1">
      <alignment wrapText="1"/>
    </xf>
    <xf numFmtId="0" fontId="0" fillId="0" borderId="9" xfId="0" applyBorder="1" applyAlignment="1">
      <alignment wrapText="1"/>
    </xf>
    <xf numFmtId="0" fontId="27" fillId="13" borderId="13" xfId="0" applyFont="1" applyFill="1" applyBorder="1" applyAlignment="1">
      <alignment horizontal="left" vertical="center" wrapText="1"/>
    </xf>
  </cellXfs>
  <cellStyles count="7">
    <cellStyle name="C:\Data\MS\Excel" xfId="2" xr:uid="{00000000-0005-0000-0000-000002000000}"/>
    <cellStyle name="百分比" xfId="6" builtinId="5"/>
    <cellStyle name="常规" xfId="0" builtinId="0"/>
    <cellStyle name="常规 2" xfId="3" xr:uid="{00000000-0005-0000-0000-000003000000}"/>
    <cellStyle name="常规 3" xfId="4" xr:uid="{00000000-0005-0000-0000-000004000000}"/>
    <cellStyle name="常规 8" xfId="5" xr:uid="{00000000-0005-0000-0000-000005000000}"/>
    <cellStyle name="超链接" xfId="1" builtinId="8"/>
  </cellStyles>
  <dxfs count="19">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00000000-0011-0000-FFFF-FFFF0100000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548235"/>
      <rgbColor rgb="00800080"/>
      <rgbColor rgb="00008080"/>
      <rgbColor rgb="00C0C0C0"/>
      <rgbColor rgb="00808080"/>
      <rgbColor rgb="009999FF"/>
      <rgbColor rgb="00993366"/>
      <rgbColor rgb="00FFF8E7"/>
      <rgbColor rgb="00DCE6F2"/>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F2F2F2"/>
      <rgbColor rgb="00E2EFDA"/>
      <rgbColor rgb="00FFE699"/>
      <rgbColor rgb="0099CCFF"/>
      <rgbColor rgb="00FF99CC"/>
      <rgbColor rgb="00CC99FF"/>
      <rgbColor rgb="00FCE4E4"/>
      <rgbColor rgb="004472C4"/>
      <rgbColor rgb="0033CCCC"/>
      <rgbColor rgb="0099CC00"/>
      <rgbColor rgb="00FFCC00"/>
      <rgbColor rgb="00FF9900"/>
      <rgbColor rgb="00FF6600"/>
      <rgbColor rgb="00666699"/>
      <rgbColor rgb="007F7F7F"/>
      <rgbColor rgb="00002060"/>
      <rgbColor rgb="00339966"/>
      <rgbColor rgb="00003300"/>
      <rgbColor rgb="00242729"/>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4"/>
  <sheetViews>
    <sheetView showGridLines="0" tabSelected="1" zoomScale="70" zoomScaleNormal="70" workbookViewId="0">
      <selection activeCell="A2" sqref="A2:I2"/>
    </sheetView>
  </sheetViews>
  <sheetFormatPr defaultColWidth="9" defaultRowHeight="12.4"/>
  <cols>
    <col min="1" max="1" width="12.8125" style="15" customWidth="1"/>
    <col min="2" max="2" width="14.875" style="15" customWidth="1"/>
    <col min="3" max="3" width="38.125" style="16" customWidth="1"/>
    <col min="4" max="4" width="31.4375" style="16" customWidth="1"/>
    <col min="5" max="6" width="28.1875" style="17" customWidth="1"/>
    <col min="7" max="7" width="24.625" style="18" customWidth="1"/>
    <col min="8" max="8" width="24.625" style="15" customWidth="1"/>
    <col min="9" max="11" width="22" style="15" customWidth="1"/>
    <col min="12" max="12" width="9" style="15" customWidth="1"/>
    <col min="13" max="16384" width="9" style="15"/>
  </cols>
  <sheetData>
    <row r="1" spans="1:13" s="11" customFormat="1" ht="50" customHeight="1">
      <c r="A1" s="56" t="s">
        <v>94</v>
      </c>
      <c r="B1" s="57"/>
      <c r="C1" s="57"/>
      <c r="D1" s="57"/>
      <c r="E1" s="57"/>
      <c r="F1" s="57"/>
      <c r="G1" s="57"/>
      <c r="H1" s="57"/>
      <c r="I1" s="57"/>
    </row>
    <row r="2" spans="1:13" s="11" customFormat="1" ht="216" customHeight="1">
      <c r="A2" s="89" t="s">
        <v>0</v>
      </c>
      <c r="B2" s="90"/>
      <c r="C2" s="90"/>
      <c r="D2" s="90"/>
      <c r="E2" s="90"/>
      <c r="F2" s="90"/>
      <c r="G2" s="90"/>
      <c r="H2" s="90"/>
      <c r="I2" s="65"/>
    </row>
    <row r="3" spans="1:13" s="12" customFormat="1" ht="42.4" customHeight="1">
      <c r="A3" s="64" t="s">
        <v>1</v>
      </c>
      <c r="B3" s="65"/>
      <c r="C3" s="25" t="s">
        <v>78</v>
      </c>
      <c r="D3" s="19"/>
      <c r="E3" s="25" t="s">
        <v>2</v>
      </c>
      <c r="F3" s="20"/>
      <c r="G3" s="26" t="s">
        <v>3</v>
      </c>
      <c r="H3" s="67"/>
      <c r="I3" s="68"/>
    </row>
    <row r="4" spans="1:13" ht="50.25" customHeight="1">
      <c r="A4" s="66"/>
      <c r="B4" s="60"/>
      <c r="C4" s="26" t="s">
        <v>4</v>
      </c>
      <c r="D4" s="19"/>
      <c r="E4" s="25" t="s">
        <v>5</v>
      </c>
      <c r="F4" s="21"/>
      <c r="G4" s="25" t="s">
        <v>6</v>
      </c>
      <c r="H4" s="81"/>
      <c r="I4" s="60"/>
      <c r="M4" s="12"/>
    </row>
    <row r="5" spans="1:13" ht="39" customHeight="1">
      <c r="A5" s="95" t="s">
        <v>7</v>
      </c>
      <c r="B5" s="77"/>
      <c r="C5" s="72" t="s">
        <v>8</v>
      </c>
      <c r="D5" s="82" t="s">
        <v>9</v>
      </c>
      <c r="E5" s="70"/>
      <c r="F5" s="70"/>
      <c r="G5" s="70"/>
      <c r="H5" s="70"/>
      <c r="I5" s="68"/>
    </row>
    <row r="6" spans="1:13" s="9" customFormat="1" ht="61.5" customHeight="1">
      <c r="A6" s="96"/>
      <c r="B6" s="77"/>
      <c r="C6" s="62"/>
      <c r="D6" s="80" t="s">
        <v>79</v>
      </c>
      <c r="E6" s="94" t="s">
        <v>81</v>
      </c>
      <c r="F6" s="90"/>
      <c r="G6" s="90"/>
      <c r="H6" s="90"/>
      <c r="I6" s="65"/>
    </row>
    <row r="7" spans="1:13" s="9" customFormat="1" ht="61.5" customHeight="1">
      <c r="A7" s="96"/>
      <c r="B7" s="77"/>
      <c r="C7" s="62"/>
      <c r="D7" s="62"/>
      <c r="E7" s="75" t="s">
        <v>82</v>
      </c>
      <c r="F7" s="76"/>
      <c r="G7" s="76"/>
      <c r="H7" s="76"/>
      <c r="I7" s="77"/>
    </row>
    <row r="8" spans="1:13" s="9" customFormat="1" ht="61.5" customHeight="1">
      <c r="A8" s="96"/>
      <c r="B8" s="77"/>
      <c r="C8" s="62"/>
      <c r="D8" s="62"/>
      <c r="E8" s="75" t="s">
        <v>83</v>
      </c>
      <c r="F8" s="76"/>
      <c r="G8" s="76"/>
      <c r="H8" s="76"/>
      <c r="I8" s="77"/>
    </row>
    <row r="9" spans="1:13" s="9" customFormat="1" ht="61.5" customHeight="1">
      <c r="A9" s="96"/>
      <c r="B9" s="77"/>
      <c r="C9" s="62"/>
      <c r="D9" s="63"/>
      <c r="E9" s="97" t="s">
        <v>84</v>
      </c>
      <c r="F9" s="59"/>
      <c r="G9" s="59"/>
      <c r="H9" s="59"/>
      <c r="I9" s="60"/>
    </row>
    <row r="10" spans="1:13" s="9" customFormat="1" ht="52.25" customHeight="1">
      <c r="A10" s="96"/>
      <c r="B10" s="77"/>
      <c r="C10" s="62"/>
      <c r="D10" s="61" t="s">
        <v>80</v>
      </c>
      <c r="E10" s="94" t="s">
        <v>85</v>
      </c>
      <c r="F10" s="90"/>
      <c r="G10" s="90"/>
      <c r="H10" s="90"/>
      <c r="I10" s="65"/>
    </row>
    <row r="11" spans="1:13" s="9" customFormat="1" ht="55.9" customHeight="1">
      <c r="A11" s="96"/>
      <c r="B11" s="77"/>
      <c r="C11" s="62"/>
      <c r="D11" s="62"/>
      <c r="E11" s="75" t="s">
        <v>86</v>
      </c>
      <c r="F11" s="76"/>
      <c r="G11" s="76"/>
      <c r="H11" s="76"/>
      <c r="I11" s="77"/>
    </row>
    <row r="12" spans="1:13" s="9" customFormat="1" ht="54" customHeight="1">
      <c r="A12" s="96"/>
      <c r="B12" s="77"/>
      <c r="C12" s="62"/>
      <c r="D12" s="62"/>
      <c r="E12" s="75" t="s">
        <v>87</v>
      </c>
      <c r="F12" s="76"/>
      <c r="G12" s="76"/>
      <c r="H12" s="76"/>
      <c r="I12" s="77"/>
    </row>
    <row r="13" spans="1:13" s="9" customFormat="1" ht="53.25" customHeight="1">
      <c r="A13" s="96"/>
      <c r="B13" s="77"/>
      <c r="C13" s="63"/>
      <c r="D13" s="63"/>
      <c r="E13" s="97" t="s">
        <v>88</v>
      </c>
      <c r="F13" s="59"/>
      <c r="G13" s="59"/>
      <c r="H13" s="59"/>
      <c r="I13" s="60"/>
    </row>
    <row r="14" spans="1:13" s="9" customFormat="1" ht="38" customHeight="1">
      <c r="A14" s="96"/>
      <c r="B14" s="77"/>
      <c r="C14" s="99" t="s">
        <v>10</v>
      </c>
      <c r="D14" s="76"/>
      <c r="E14" s="76"/>
      <c r="F14" s="76"/>
      <c r="G14" s="76"/>
      <c r="H14" s="76"/>
      <c r="I14" s="76"/>
    </row>
    <row r="15" spans="1:13" ht="200" customHeight="1">
      <c r="A15" s="96"/>
      <c r="B15" s="77"/>
      <c r="C15" s="83" t="s">
        <v>11</v>
      </c>
      <c r="D15" s="65"/>
      <c r="E15" s="83" t="s">
        <v>12</v>
      </c>
      <c r="F15" s="65"/>
      <c r="G15" s="101" t="s">
        <v>13</v>
      </c>
      <c r="H15" s="70"/>
      <c r="I15" s="68"/>
    </row>
    <row r="16" spans="1:13" ht="55.05" customHeight="1">
      <c r="A16" s="96"/>
      <c r="B16" s="77"/>
      <c r="C16" s="46" t="s">
        <v>14</v>
      </c>
      <c r="D16" s="47"/>
      <c r="E16" s="78"/>
      <c r="F16" s="70"/>
      <c r="G16" s="70"/>
      <c r="H16" s="70"/>
      <c r="I16" s="68"/>
    </row>
    <row r="17" spans="1:9" ht="55.05" customHeight="1">
      <c r="A17" s="96"/>
      <c r="B17" s="77"/>
      <c r="C17" s="46" t="s">
        <v>15</v>
      </c>
      <c r="D17" s="47"/>
      <c r="E17" s="100"/>
      <c r="F17" s="59"/>
      <c r="G17" s="59"/>
      <c r="H17" s="59"/>
      <c r="I17" s="60"/>
    </row>
    <row r="18" spans="1:9" s="9" customFormat="1" ht="35" customHeight="1">
      <c r="A18" s="96"/>
      <c r="B18" s="77"/>
      <c r="C18" s="91" t="s">
        <v>16</v>
      </c>
      <c r="D18" s="90"/>
      <c r="E18" s="90"/>
      <c r="F18" s="90"/>
      <c r="G18" s="90"/>
      <c r="H18" s="90"/>
      <c r="I18" s="90"/>
    </row>
    <row r="19" spans="1:9" ht="110" customHeight="1">
      <c r="A19" s="96"/>
      <c r="B19" s="77"/>
      <c r="C19" s="31" t="s">
        <v>17</v>
      </c>
      <c r="D19" s="69" t="s">
        <v>18</v>
      </c>
      <c r="E19" s="70"/>
      <c r="F19" s="70"/>
      <c r="G19" s="70"/>
      <c r="H19" s="70"/>
      <c r="I19" s="68"/>
    </row>
    <row r="20" spans="1:9" ht="55.05" customHeight="1">
      <c r="A20" s="96"/>
      <c r="B20" s="77"/>
      <c r="C20" s="31" t="s">
        <v>19</v>
      </c>
      <c r="D20" s="48"/>
      <c r="E20" s="92"/>
      <c r="F20" s="70"/>
      <c r="G20" s="70"/>
      <c r="H20" s="70"/>
      <c r="I20" s="68"/>
    </row>
    <row r="21" spans="1:9" s="9" customFormat="1" ht="80" customHeight="1">
      <c r="A21" s="66"/>
      <c r="B21" s="60"/>
      <c r="C21" s="79" t="s">
        <v>92</v>
      </c>
      <c r="D21" s="70"/>
      <c r="E21" s="70"/>
      <c r="F21" s="70"/>
      <c r="G21" s="70"/>
      <c r="H21" s="70"/>
      <c r="I21" s="68"/>
    </row>
    <row r="22" spans="1:9" s="13" customFormat="1" ht="38" customHeight="1">
      <c r="A22" s="104" t="s">
        <v>20</v>
      </c>
      <c r="B22" s="102" t="s">
        <v>21</v>
      </c>
      <c r="C22" s="73" t="s">
        <v>22</v>
      </c>
      <c r="D22" s="74"/>
      <c r="E22" s="74"/>
      <c r="F22" s="74"/>
      <c r="G22" s="74"/>
      <c r="H22" s="74"/>
      <c r="I22" s="74"/>
    </row>
    <row r="23" spans="1:9" s="14" customFormat="1" ht="200.25" customHeight="1">
      <c r="A23" s="62"/>
      <c r="B23" s="62"/>
      <c r="C23" s="108" t="s">
        <v>89</v>
      </c>
      <c r="D23" s="70"/>
      <c r="E23" s="70"/>
      <c r="F23" s="70"/>
      <c r="G23" s="70"/>
      <c r="H23" s="70"/>
      <c r="I23" s="68"/>
    </row>
    <row r="24" spans="1:9" ht="70.05" customHeight="1">
      <c r="A24" s="62"/>
      <c r="B24" s="62"/>
      <c r="C24" s="35" t="s">
        <v>23</v>
      </c>
      <c r="D24" s="36" t="s">
        <v>24</v>
      </c>
      <c r="E24" s="36" t="s">
        <v>25</v>
      </c>
      <c r="F24" s="36" t="s">
        <v>26</v>
      </c>
      <c r="G24" s="36" t="s">
        <v>27</v>
      </c>
      <c r="H24" s="50" t="s">
        <v>28</v>
      </c>
      <c r="I24" s="36" t="s">
        <v>29</v>
      </c>
    </row>
    <row r="25" spans="1:9" ht="80" customHeight="1">
      <c r="A25" s="62"/>
      <c r="B25" s="62"/>
      <c r="C25" s="52" t="s">
        <v>30</v>
      </c>
      <c r="D25" s="27"/>
      <c r="E25" s="54"/>
      <c r="F25" s="10"/>
      <c r="G25" s="10"/>
      <c r="H25" s="10"/>
      <c r="I25" s="10"/>
    </row>
    <row r="26" spans="1:9" ht="80" customHeight="1">
      <c r="A26" s="62"/>
      <c r="B26" s="62"/>
      <c r="C26" s="52" t="s">
        <v>31</v>
      </c>
      <c r="D26" s="27"/>
      <c r="E26" s="54"/>
      <c r="F26" s="10"/>
      <c r="G26" s="10"/>
      <c r="H26" s="10"/>
      <c r="I26" s="10"/>
    </row>
    <row r="27" spans="1:9" ht="80" customHeight="1">
      <c r="A27" s="62"/>
      <c r="B27" s="62"/>
      <c r="C27" s="52" t="s">
        <v>32</v>
      </c>
      <c r="D27" s="27"/>
      <c r="E27" s="54"/>
      <c r="F27" s="10"/>
      <c r="G27" s="10"/>
      <c r="H27" s="10"/>
      <c r="I27" s="10"/>
    </row>
    <row r="28" spans="1:9" ht="80" customHeight="1">
      <c r="A28" s="62"/>
      <c r="B28" s="62"/>
      <c r="C28" s="53" t="s">
        <v>33</v>
      </c>
      <c r="D28" s="27"/>
      <c r="E28" s="54"/>
      <c r="F28" s="10"/>
      <c r="G28" s="10"/>
      <c r="H28" s="10"/>
      <c r="I28" s="10"/>
    </row>
    <row r="29" spans="1:9" ht="80" customHeight="1">
      <c r="A29" s="62"/>
      <c r="B29" s="62"/>
      <c r="C29" s="53" t="s">
        <v>34</v>
      </c>
      <c r="D29" s="27"/>
      <c r="E29" s="54"/>
      <c r="F29" s="10"/>
      <c r="G29" s="10"/>
      <c r="H29" s="10"/>
      <c r="I29" s="10"/>
    </row>
    <row r="30" spans="1:9" ht="38" customHeight="1">
      <c r="A30" s="62"/>
      <c r="B30" s="62"/>
      <c r="C30" s="37" t="s">
        <v>35</v>
      </c>
      <c r="D30" s="42"/>
      <c r="E30" s="55">
        <f>SUM(E25:E29)</f>
        <v>0</v>
      </c>
      <c r="F30" s="44"/>
      <c r="G30" s="44"/>
      <c r="H30" s="51" t="str">
        <f>IFERROR((IFERROR(E25*H25,0)+IFERROR(E26*H26,0)+IFERROR(E27*H27,0)+IFERROR(E28*H28,0)+IFERROR(E29*H29,0))/SUM(E25:E29),"")</f>
        <v/>
      </c>
      <c r="I30" s="43" t="str">
        <f>IFERROR((IFERROR(E25*I25,0)+IFERROR(E26*I26,0)+IFERROR(E27*I27,0)+IFERROR(E28*I28,0)+IFERROR(E29*I29,0))/SUM(E25:E29),"")</f>
        <v/>
      </c>
    </row>
    <row r="31" spans="1:9" ht="13.9" hidden="1" customHeight="1">
      <c r="A31" s="62"/>
      <c r="B31" s="62"/>
      <c r="C31" s="32"/>
      <c r="D31" s="38"/>
      <c r="E31" s="39"/>
      <c r="F31" s="38"/>
      <c r="G31" s="40"/>
      <c r="H31" s="38"/>
    </row>
    <row r="32" spans="1:9" ht="169.9" customHeight="1">
      <c r="A32" s="62"/>
      <c r="B32" s="63"/>
      <c r="C32" s="33" t="s">
        <v>36</v>
      </c>
      <c r="D32" s="71"/>
      <c r="E32" s="70"/>
      <c r="F32" s="70"/>
      <c r="G32" s="70"/>
      <c r="H32" s="70"/>
      <c r="I32" s="68"/>
    </row>
    <row r="33" spans="1:9" ht="140" customHeight="1">
      <c r="A33" s="62"/>
      <c r="B33" s="102" t="s">
        <v>37</v>
      </c>
      <c r="C33" s="33" t="s">
        <v>38</v>
      </c>
      <c r="D33" s="71"/>
      <c r="E33" s="70"/>
      <c r="F33" s="70"/>
      <c r="G33" s="70"/>
      <c r="H33" s="70"/>
      <c r="I33" s="68"/>
    </row>
    <row r="34" spans="1:9" ht="100.05" customHeight="1">
      <c r="A34" s="62"/>
      <c r="B34" s="63"/>
      <c r="C34" s="33" t="s">
        <v>39</v>
      </c>
      <c r="D34" s="71"/>
      <c r="E34" s="70"/>
      <c r="F34" s="70"/>
      <c r="G34" s="70"/>
      <c r="H34" s="70"/>
      <c r="I34" s="68"/>
    </row>
    <row r="35" spans="1:9" ht="80" customHeight="1">
      <c r="A35" s="63"/>
      <c r="B35" s="49" t="s">
        <v>40</v>
      </c>
      <c r="C35" s="34" t="s">
        <v>41</v>
      </c>
      <c r="D35" s="93"/>
      <c r="E35" s="60"/>
      <c r="F35" s="41" t="s">
        <v>42</v>
      </c>
      <c r="G35" s="98"/>
      <c r="H35" s="70"/>
      <c r="I35" s="68"/>
    </row>
    <row r="36" spans="1:9" ht="80" customHeight="1">
      <c r="A36" s="104" t="s">
        <v>43</v>
      </c>
      <c r="B36" s="105"/>
      <c r="C36" s="28" t="s">
        <v>44</v>
      </c>
      <c r="D36" s="58"/>
      <c r="E36" s="59"/>
      <c r="F36" s="59"/>
      <c r="G36" s="59"/>
      <c r="H36" s="59"/>
      <c r="I36" s="60"/>
    </row>
    <row r="37" spans="1:9" ht="90" customHeight="1">
      <c r="A37" s="106"/>
      <c r="B37" s="107"/>
      <c r="C37" s="29" t="s">
        <v>45</v>
      </c>
      <c r="D37" s="93"/>
      <c r="E37" s="60"/>
      <c r="F37" s="45" t="s">
        <v>46</v>
      </c>
      <c r="G37" s="98"/>
      <c r="H37" s="70"/>
      <c r="I37" s="68"/>
    </row>
    <row r="38" spans="1:9" ht="20" customHeight="1">
      <c r="A38" s="30" t="s">
        <v>47</v>
      </c>
      <c r="B38" s="30"/>
      <c r="C38" s="22"/>
      <c r="D38" s="22"/>
      <c r="E38" s="15"/>
      <c r="F38" s="15"/>
      <c r="G38" s="15"/>
      <c r="H38" s="23"/>
      <c r="I38" s="23"/>
    </row>
    <row r="39" spans="1:9" ht="170" customHeight="1">
      <c r="A39" s="84" t="s">
        <v>48</v>
      </c>
      <c r="B39" s="85"/>
      <c r="C39" s="86"/>
      <c r="D39" s="86"/>
      <c r="E39" s="87"/>
      <c r="F39" s="87"/>
      <c r="G39" s="88"/>
      <c r="H39" s="24"/>
      <c r="I39" s="24"/>
    </row>
    <row r="40" spans="1:9" ht="138.4" customHeight="1">
      <c r="A40" s="84" t="s">
        <v>90</v>
      </c>
      <c r="B40" s="85"/>
      <c r="C40" s="86"/>
      <c r="D40" s="86"/>
      <c r="E40" s="87"/>
      <c r="F40" s="87"/>
      <c r="G40" s="88"/>
    </row>
    <row r="41" spans="1:9" ht="15" customHeight="1">
      <c r="A41" s="103"/>
      <c r="B41" s="85"/>
      <c r="C41" s="86"/>
      <c r="D41" s="86"/>
      <c r="E41" s="87"/>
      <c r="F41" s="87"/>
      <c r="G41" s="88"/>
    </row>
    <row r="42" spans="1:9" ht="147.4" customHeight="1">
      <c r="A42" s="84" t="s">
        <v>91</v>
      </c>
      <c r="B42" s="85"/>
      <c r="C42" s="86"/>
      <c r="D42" s="86"/>
      <c r="E42" s="87"/>
      <c r="F42" s="87"/>
      <c r="G42" s="88"/>
    </row>
    <row r="43" spans="1:9" ht="192.4" customHeight="1">
      <c r="A43" s="84" t="s">
        <v>93</v>
      </c>
      <c r="B43" s="85"/>
      <c r="C43" s="86"/>
      <c r="D43" s="86"/>
      <c r="E43" s="87"/>
      <c r="F43" s="87"/>
      <c r="G43" s="88"/>
    </row>
    <row r="44" spans="1:9" ht="230" customHeight="1">
      <c r="A44" s="84" t="s">
        <v>49</v>
      </c>
      <c r="B44" s="85"/>
      <c r="C44" s="86"/>
      <c r="D44" s="86"/>
      <c r="E44" s="87"/>
      <c r="F44" s="87"/>
      <c r="G44" s="88"/>
    </row>
  </sheetData>
  <mergeCells count="48">
    <mergeCell ref="A42:G42"/>
    <mergeCell ref="A43:G43"/>
    <mergeCell ref="E8:I8"/>
    <mergeCell ref="E17:I17"/>
    <mergeCell ref="G15:I15"/>
    <mergeCell ref="D37:E37"/>
    <mergeCell ref="B33:B34"/>
    <mergeCell ref="E11:I11"/>
    <mergeCell ref="A41:G41"/>
    <mergeCell ref="B22:B32"/>
    <mergeCell ref="A36:B37"/>
    <mergeCell ref="C23:I23"/>
    <mergeCell ref="E12:I12"/>
    <mergeCell ref="D32:I32"/>
    <mergeCell ref="A22:A35"/>
    <mergeCell ref="G37:I37"/>
    <mergeCell ref="A44:G44"/>
    <mergeCell ref="A2:I2"/>
    <mergeCell ref="A40:G40"/>
    <mergeCell ref="C18:I18"/>
    <mergeCell ref="E20:I20"/>
    <mergeCell ref="D35:E35"/>
    <mergeCell ref="A39:G39"/>
    <mergeCell ref="E10:I10"/>
    <mergeCell ref="A5:B21"/>
    <mergeCell ref="E13:I13"/>
    <mergeCell ref="G35:I35"/>
    <mergeCell ref="E9:I9"/>
    <mergeCell ref="D33:I33"/>
    <mergeCell ref="C14:I14"/>
    <mergeCell ref="E15:F15"/>
    <mergeCell ref="E6:I6"/>
    <mergeCell ref="A1:I1"/>
    <mergeCell ref="D36:I36"/>
    <mergeCell ref="D10:D13"/>
    <mergeCell ref="A3:B4"/>
    <mergeCell ref="H3:I3"/>
    <mergeCell ref="D19:I19"/>
    <mergeCell ref="D34:I34"/>
    <mergeCell ref="C5:C13"/>
    <mergeCell ref="C22:I22"/>
    <mergeCell ref="E7:I7"/>
    <mergeCell ref="E16:I16"/>
    <mergeCell ref="C21:I21"/>
    <mergeCell ref="D6:D9"/>
    <mergeCell ref="H4:I4"/>
    <mergeCell ref="D5:I5"/>
    <mergeCell ref="C15:D15"/>
  </mergeCells>
  <phoneticPr fontId="1" type="noConversion"/>
  <conditionalFormatting sqref="E25:E30">
    <cfRule type="cellIs" dxfId="1" priority="1" operator="greaterThan">
      <formula>1</formula>
    </cfRule>
  </conditionalFormatting>
  <conditionalFormatting sqref="E30">
    <cfRule type="cellIs" dxfId="0" priority="2" operator="greaterThan">
      <formula>1000</formula>
    </cfRule>
  </conditionalFormatting>
  <dataValidations count="7">
    <dataValidation type="list" allowBlank="1" errorTitle="输入错误" error="请从下拉选项中选择" sqref="D20" xr:uid="{00000000-0002-0000-0000-000000000000}">
      <formula1>"+0（无显著贡献）,+0.1（一般贡献）,+0.2（突出贡献）,+0.3（杰出贡献）"</formula1>
    </dataValidation>
    <dataValidation type="list" allowBlank="1" errorTitle="输入错误" error="请从下拉选项中选择" sqref="D16:D17" xr:uid="{00000000-0002-0000-0000-000001000000}">
      <formula1>"无红线行为,疑似存在（需说明）,确认存在（一票否决）"</formula1>
    </dataValidation>
    <dataValidation type="decimal" allowBlank="1" showErrorMessage="1" errorTitle="输入有误" error="请输入0-100之间的数字（百分比）" sqref="E25:E29" xr:uid="{00000000-0002-0000-0000-000002000000}">
      <formula1>0</formula1>
      <formula2>100</formula2>
    </dataValidation>
    <dataValidation type="whole" allowBlank="1" errorTitle="输入错误" error="请输入 0-100 之间的整数" sqref="E30" xr:uid="{00000000-0002-0000-0000-000003000000}">
      <formula1>0</formula1>
      <formula2>100</formula2>
    </dataValidation>
    <dataValidation type="list" allowBlank="1" errorTitle="输入错误" error="请选择 1-5 之间的分数" sqref="H25:I27 H29:I29" xr:uid="{00000000-0002-0000-0000-000004000000}">
      <formula1>"5,4,3,2,1"</formula1>
    </dataValidation>
    <dataValidation allowBlank="1" errorTitle="输入错误" error="请选择 1-5 之间的分数" sqref="G25:G29 H30:I30" xr:uid="{00000000-0002-0000-0000-000005000000}"/>
    <dataValidation type="list" allowBlank="1" showInputMessage="1" showErrorMessage="1" sqref="D35:E35 D37:E37 G35:I35 G37:I37" xr:uid="{00000000-0002-0000-0000-000006000000}">
      <formula1>"5,4,3,2,1"</formula1>
    </dataValidation>
  </dataValidations>
  <pageMargins left="0.70833333333333304" right="0.70833333333333304" top="0.74791666666666701" bottom="0.7479166666666670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election activeCell="C19" sqref="C19"/>
    </sheetView>
  </sheetViews>
  <sheetFormatPr defaultColWidth="9" defaultRowHeight="13.9"/>
  <cols>
    <col min="1" max="1" width="9" style="9" customWidth="1"/>
    <col min="2" max="16384" width="9" style="9"/>
  </cols>
  <sheetData>
    <row r="1" spans="1:3" ht="13.5" customHeight="1">
      <c r="A1" s="10" t="s">
        <v>50</v>
      </c>
      <c r="C1" s="10">
        <v>1</v>
      </c>
    </row>
    <row r="2" spans="1:3" ht="13.5" customHeight="1">
      <c r="A2" s="10" t="s">
        <v>51</v>
      </c>
      <c r="C2" s="10">
        <v>2</v>
      </c>
    </row>
    <row r="3" spans="1:3" ht="13.5" customHeight="1">
      <c r="A3" s="10" t="s">
        <v>52</v>
      </c>
      <c r="C3" s="10" t="s">
        <v>53</v>
      </c>
    </row>
    <row r="4" spans="1:3" ht="13.5" customHeight="1">
      <c r="A4" s="10" t="s">
        <v>54</v>
      </c>
      <c r="C4" s="10" t="s">
        <v>55</v>
      </c>
    </row>
    <row r="5" spans="1:3" ht="13.5" customHeight="1">
      <c r="A5" s="10" t="s">
        <v>56</v>
      </c>
      <c r="C5" s="10" t="s">
        <v>57</v>
      </c>
    </row>
    <row r="6" spans="1:3" ht="13.5" customHeight="1">
      <c r="C6" s="10" t="s">
        <v>58</v>
      </c>
    </row>
    <row r="7" spans="1:3" ht="13.5" customHeight="1">
      <c r="C7" s="10" t="s">
        <v>59</v>
      </c>
    </row>
    <row r="8" spans="1:3" ht="13.5" customHeight="1">
      <c r="C8" s="10" t="s">
        <v>60</v>
      </c>
    </row>
    <row r="9" spans="1:3">
      <c r="C9" s="10">
        <v>6</v>
      </c>
    </row>
  </sheetData>
  <phoneticPr fontId="1"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B9" sqref="B9"/>
    </sheetView>
  </sheetViews>
  <sheetFormatPr defaultColWidth="16" defaultRowHeight="11.25"/>
  <cols>
    <col min="1" max="1" width="9" style="1" customWidth="1"/>
    <col min="2" max="2" width="19.5625" style="1" customWidth="1"/>
    <col min="3" max="3" width="12.1875" style="1" customWidth="1"/>
    <col min="4" max="4" width="10.6875" style="1" customWidth="1"/>
    <col min="5" max="5" width="10.125" style="1" customWidth="1"/>
    <col min="6" max="6" width="26.125" style="1" customWidth="1"/>
    <col min="7" max="7" width="11.125" style="1" customWidth="1"/>
    <col min="8" max="9" width="16.5" style="1" customWidth="1"/>
    <col min="10" max="11" width="13" style="1" customWidth="1"/>
    <col min="12" max="12" width="16" style="1" customWidth="1"/>
    <col min="13" max="16384" width="16" style="1"/>
  </cols>
  <sheetData>
    <row r="1" spans="1:17" ht="13.5" customHeight="1">
      <c r="A1" s="2" t="s">
        <v>61</v>
      </c>
      <c r="B1" s="2" t="s">
        <v>62</v>
      </c>
      <c r="C1" s="2" t="s">
        <v>63</v>
      </c>
      <c r="D1" s="3" t="s">
        <v>64</v>
      </c>
      <c r="E1" s="3" t="s">
        <v>65</v>
      </c>
      <c r="F1" s="4" t="s">
        <v>66</v>
      </c>
      <c r="G1" s="2" t="s">
        <v>67</v>
      </c>
      <c r="H1" s="5" t="s">
        <v>68</v>
      </c>
      <c r="I1" s="5" t="s">
        <v>69</v>
      </c>
      <c r="J1" s="5" t="s">
        <v>70</v>
      </c>
      <c r="K1" s="5" t="s">
        <v>71</v>
      </c>
      <c r="L1" s="6" t="s">
        <v>72</v>
      </c>
      <c r="M1" s="6" t="s">
        <v>73</v>
      </c>
      <c r="N1" s="6" t="s">
        <v>74</v>
      </c>
      <c r="O1" s="6" t="s">
        <v>75</v>
      </c>
      <c r="P1" s="6" t="s">
        <v>76</v>
      </c>
      <c r="Q1" s="6" t="s">
        <v>77</v>
      </c>
    </row>
    <row r="2" spans="1:17" ht="13.5" customHeight="1">
      <c r="A2" s="7">
        <f>ROW()-1</f>
        <v>1</v>
      </c>
      <c r="B2" s="7">
        <f>员工绩效考核评价表!D3</f>
        <v>0</v>
      </c>
      <c r="C2" s="7">
        <f>员工绩效考核评价表!F3</f>
        <v>0</v>
      </c>
      <c r="D2" s="7">
        <f>员工绩效考核评价表!H3</f>
        <v>0</v>
      </c>
      <c r="E2" s="7">
        <f>员工绩效考核评价表!D4</f>
        <v>0</v>
      </c>
      <c r="F2" s="7">
        <f>员工绩效考核评价表!F4</f>
        <v>0</v>
      </c>
      <c r="G2" s="7">
        <f>员工绩效考核评价表!H4</f>
        <v>0</v>
      </c>
      <c r="H2" s="7">
        <f>员工绩效考核评价表!D35</f>
        <v>0</v>
      </c>
      <c r="I2" s="7">
        <f>员工绩效考核评价表!D37</f>
        <v>0</v>
      </c>
      <c r="J2" s="7">
        <f>员工绩效考核评价表!G35</f>
        <v>0</v>
      </c>
      <c r="K2" s="7">
        <f>员工绩效考核评价表!G37</f>
        <v>0</v>
      </c>
      <c r="L2" s="8">
        <f>员工绩效考核评价表!E30</f>
        <v>0</v>
      </c>
      <c r="M2" t="str">
        <f>员工绩效考核评价表!I30</f>
        <v/>
      </c>
      <c r="N2" t="str">
        <f>员工绩效考核评价表!H30</f>
        <v/>
      </c>
      <c r="O2" s="1">
        <f>员工绩效考核评价表!D16</f>
        <v>0</v>
      </c>
      <c r="P2" s="1">
        <f>员工绩效考核评价表!D17</f>
        <v>0</v>
      </c>
      <c r="Q2" s="1">
        <f>员工绩效考核评价表!D20</f>
        <v>0</v>
      </c>
    </row>
  </sheetData>
  <phoneticPr fontId="1"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员工绩效考核评价表</vt:lpstr>
      <vt:lpstr>下拉选项使用</vt:lpstr>
      <vt:lpstr>汇总使用（HR）</vt:lpstr>
      <vt:lpstr>员工绩效考核评价表!Print_Area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YUXIN LI</cp:lastModifiedBy>
  <cp:revision>0</cp:revision>
  <dcterms:created xsi:type="dcterms:W3CDTF">2026-04-26T02:23:00Z</dcterms:created>
  <dcterms:modified xsi:type="dcterms:W3CDTF">2026-06-02T14:43:18Z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6DD4692455CFABCE59D5EE69D8C24D28_43</vt:lpwstr>
  </property>
  <property fmtid="{D5CDD505-2E9C-101B-9397-08002B2CF9AE}" pid="4" name="KSOProductBuildVer">
    <vt:lpwstr>2052-12.1.25867.25867</vt:lpwstr>
  </property>
</Properties>
</file>